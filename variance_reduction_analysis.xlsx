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harshul/Sagebooks/conrades-proposal/shine-pitch-deck/"/>
    </mc:Choice>
  </mc:AlternateContent>
  <xr:revisionPtr revIDLastSave="0" documentId="13_ncr:1_{7AD8DBE9-CD62-B34A-A264-C761BE29418C}" xr6:coauthVersionLast="47" xr6:coauthVersionMax="47" xr10:uidLastSave="{00000000-0000-0000-0000-000000000000}"/>
  <bookViews>
    <workbookView xWindow="0" yWindow="760" windowWidth="29400" windowHeight="16980" xr2:uid="{00000000-000D-0000-FFFF-FFFF00000000}"/>
  </bookViews>
  <sheets>
    <sheet name="Variance Reduction 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C33" i="1"/>
  <c r="E33" i="1" s="1"/>
  <c r="B33" i="1"/>
  <c r="B32" i="1"/>
  <c r="B31" i="1"/>
  <c r="B30" i="1"/>
  <c r="E26" i="1"/>
  <c r="F26" i="1" s="1"/>
  <c r="B26" i="1"/>
  <c r="C26" i="1" s="1"/>
  <c r="E25" i="1"/>
  <c r="F25" i="1" s="1"/>
  <c r="B25" i="1"/>
  <c r="C25" i="1" s="1"/>
  <c r="D25" i="1" s="1"/>
  <c r="E24" i="1"/>
  <c r="F24" i="1" s="1"/>
  <c r="C34" i="1" s="1"/>
  <c r="B24" i="1"/>
  <c r="C30" i="1" s="1"/>
  <c r="E23" i="1"/>
  <c r="F23" i="1" s="1"/>
  <c r="B23" i="1"/>
  <c r="C23" i="1" s="1"/>
  <c r="E22" i="1"/>
  <c r="F22" i="1" s="1"/>
  <c r="B22" i="1"/>
  <c r="C22" i="1" s="1"/>
  <c r="E21" i="1"/>
  <c r="F21" i="1" s="1"/>
  <c r="B21" i="1"/>
  <c r="C21" i="1" s="1"/>
  <c r="E20" i="1"/>
  <c r="F20" i="1" s="1"/>
  <c r="B20" i="1"/>
  <c r="C20" i="1" s="1"/>
  <c r="E19" i="1"/>
  <c r="F19" i="1" s="1"/>
  <c r="B19" i="1"/>
  <c r="C19" i="1" s="1"/>
  <c r="E18" i="1"/>
  <c r="F18" i="1" s="1"/>
  <c r="C18" i="1"/>
  <c r="B18" i="1"/>
  <c r="E17" i="1"/>
  <c r="F17" i="1" s="1"/>
  <c r="B17" i="1"/>
  <c r="C17" i="1" s="1"/>
  <c r="B10" i="1"/>
  <c r="B11" i="1" s="1"/>
  <c r="B9" i="1"/>
  <c r="D26" i="1" s="1"/>
  <c r="D17" i="1" l="1"/>
  <c r="E30" i="1"/>
  <c r="D30" i="1"/>
  <c r="D21" i="1"/>
  <c r="D23" i="1"/>
  <c r="D19" i="1"/>
  <c r="E34" i="1"/>
  <c r="D34" i="1"/>
  <c r="D33" i="1"/>
  <c r="C24" i="1"/>
  <c r="C31" i="1" s="1"/>
  <c r="D18" i="1"/>
  <c r="D20" i="1"/>
  <c r="D22" i="1"/>
  <c r="D24" i="1"/>
  <c r="C32" i="1" s="1"/>
  <c r="E32" i="1" l="1"/>
  <c r="D32" i="1"/>
  <c r="E31" i="1"/>
  <c r="D31" i="1"/>
</calcChain>
</file>

<file path=xl/sharedStrings.xml><?xml version="1.0" encoding="utf-8"?>
<sst xmlns="http://schemas.openxmlformats.org/spreadsheetml/2006/main" count="46" uniqueCount="40">
  <si>
    <t>Variance Reduction Analysis - P-K Formula Model</t>
  </si>
  <si>
    <t>Input Parameters</t>
  </si>
  <si>
    <t>Parameter</t>
  </si>
  <si>
    <t>Value</t>
  </si>
  <si>
    <t>Unit</t>
  </si>
  <si>
    <t>Notes</t>
  </si>
  <si>
    <t>Initial Clients</t>
  </si>
  <si>
    <t>clients</t>
  </si>
  <si>
    <t>Baseline capacity</t>
  </si>
  <si>
    <t>Initial Variance (σ)</t>
  </si>
  <si>
    <t>hours</t>
  </si>
  <si>
    <t>Standard deviation of service time</t>
  </si>
  <si>
    <t>Initial Variance² (σ²)</t>
  </si>
  <si>
    <t>hours²</t>
  </si>
  <si>
    <t>Variance of service time</t>
  </si>
  <si>
    <t>Initial TPT</t>
  </si>
  <si>
    <t>Average time per task</t>
  </si>
  <si>
    <t>Service Rate (μ)</t>
  </si>
  <si>
    <t>clients/hour</t>
  </si>
  <si>
    <t>1/TPT</t>
  </si>
  <si>
    <t>Arrival Rate (λ)</t>
  </si>
  <si>
    <t>15 clients / 22h</t>
  </si>
  <si>
    <t>Initial Utilization (ρ)</t>
  </si>
  <si>
    <t>ratio</t>
  </si>
  <si>
    <t>λ/μ</t>
  </si>
  <si>
    <t>P-K Formula: W = (1/μ) + (λ(σ² + 1/μ²)) / (2(1-ρ))</t>
  </si>
  <si>
    <t>Variance Reduction Analysis</t>
  </si>
  <si>
    <t>Variance Reduction %</t>
  </si>
  <si>
    <t>Variance (σ)</t>
  </si>
  <si>
    <t>Variance² (σ²)</t>
  </si>
  <si>
    <t>TPT (W)</t>
  </si>
  <si>
    <t>Capacity (Clients)</t>
  </si>
  <si>
    <t>ROI Multiplier</t>
  </si>
  <si>
    <t>Key Metrics at 70% Variance Reduction</t>
  </si>
  <si>
    <t>Metric</t>
  </si>
  <si>
    <t>Before</t>
  </si>
  <si>
    <t>After</t>
  </si>
  <si>
    <t>Change</t>
  </si>
  <si>
    <t>Change %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</si>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</sst>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0" fontId="3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sqref="A1:F1"/>
    </sheetView>
  </sheetViews>
  <sheetFormatPr baseColWidth="10" defaultColWidth="8.83203125" defaultRowHeight="15" x14ac:dyDescent="0.2"/>
  <cols>
    <col min="1" max="1" width="25" customWidth="1"/>
    <col min="2" max="3" width="15" customWidth="1"/>
    <col min="4" max="4" width="27.33203125" customWidth="1"/>
    <col min="5" max="5" width="18" customWidth="1"/>
    <col min="6" max="6" width="15" customWidth="1"/>
  </cols>
  <sheetData>
    <row r="1" spans="1:6" ht="19" x14ac:dyDescent="0.25">
      <c r="A1" s="8" t="s">
        <v>0</v>
      </c>
      <c r="B1" s="7"/>
      <c r="C1" s="7"/>
      <c r="D1" s="7"/>
      <c r="E1" s="7"/>
      <c r="F1" s="7"/>
    </row>
    <row r="3" spans="1:6" ht="19" x14ac:dyDescent="0.25">
      <c r="A3" s="1" t="s">
        <v>1</v>
      </c>
    </row>
    <row r="4" spans="1:6" x14ac:dyDescent="0.2">
      <c r="A4" s="2" t="s">
        <v>2</v>
      </c>
      <c r="B4" s="2" t="s">
        <v>3</v>
      </c>
      <c r="C4" s="2" t="s">
        <v>4</v>
      </c>
      <c r="D4" s="2" t="s">
        <v>5</v>
      </c>
    </row>
    <row r="5" spans="1:6" x14ac:dyDescent="0.2">
      <c r="A5" s="3" t="s">
        <v>6</v>
      </c>
      <c r="B5" s="4">
        <v>15</v>
      </c>
      <c r="C5" s="3" t="s">
        <v>7</v>
      </c>
      <c r="D5" s="3" t="s">
        <v>8</v>
      </c>
    </row>
    <row r="6" spans="1:6" x14ac:dyDescent="0.2">
      <c r="A6" s="3" t="s">
        <v>9</v>
      </c>
      <c r="B6" s="4">
        <v>12</v>
      </c>
      <c r="C6" s="3" t="s">
        <v>10</v>
      </c>
      <c r="D6" s="3" t="s">
        <v>11</v>
      </c>
    </row>
    <row r="7" spans="1:6" x14ac:dyDescent="0.2">
      <c r="A7" s="3" t="s">
        <v>12</v>
      </c>
      <c r="B7" s="4">
        <v>144</v>
      </c>
      <c r="C7" s="3" t="s">
        <v>13</v>
      </c>
      <c r="D7" s="3" t="s">
        <v>14</v>
      </c>
    </row>
    <row r="8" spans="1:6" x14ac:dyDescent="0.2">
      <c r="A8" s="3" t="s">
        <v>15</v>
      </c>
      <c r="B8" s="4">
        <v>22</v>
      </c>
      <c r="C8" s="3" t="s">
        <v>10</v>
      </c>
      <c r="D8" s="3" t="s">
        <v>16</v>
      </c>
    </row>
    <row r="9" spans="1:6" x14ac:dyDescent="0.2">
      <c r="A9" s="3" t="s">
        <v>17</v>
      </c>
      <c r="B9" s="4">
        <f>1/B8</f>
        <v>4.5454545454545456E-2</v>
      </c>
      <c r="C9" s="3" t="s">
        <v>18</v>
      </c>
      <c r="D9" s="3" t="s">
        <v>19</v>
      </c>
    </row>
    <row r="10" spans="1:6" x14ac:dyDescent="0.2">
      <c r="A10" s="3" t="s">
        <v>20</v>
      </c>
      <c r="B10" s="4">
        <f>B5/B8</f>
        <v>0.68181818181818177</v>
      </c>
      <c r="C10" s="3" t="s">
        <v>18</v>
      </c>
      <c r="D10" s="3" t="s">
        <v>21</v>
      </c>
    </row>
    <row r="11" spans="1:6" x14ac:dyDescent="0.2">
      <c r="A11" s="3" t="s">
        <v>22</v>
      </c>
      <c r="B11" s="4">
        <f>B10/B9</f>
        <v>14.999999999999998</v>
      </c>
      <c r="C11" s="3" t="s">
        <v>23</v>
      </c>
      <c r="D11" s="3" t="s">
        <v>24</v>
      </c>
    </row>
    <row r="13" spans="1:6" x14ac:dyDescent="0.2">
      <c r="A13" s="6" t="s">
        <v>25</v>
      </c>
      <c r="B13" s="7"/>
      <c r="C13" s="7"/>
      <c r="D13" s="7"/>
      <c r="E13" s="7"/>
      <c r="F13" s="7"/>
    </row>
    <row r="15" spans="1:6" ht="19" x14ac:dyDescent="0.25">
      <c r="A15" s="1" t="s">
        <v>26</v>
      </c>
    </row>
    <row r="16" spans="1:6" x14ac:dyDescent="0.2">
      <c r="A16" s="2" t="s">
        <v>27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32</v>
      </c>
    </row>
    <row r="17" spans="1:6" x14ac:dyDescent="0.2">
      <c r="A17" s="5">
        <v>0</v>
      </c>
      <c r="B17" s="4">
        <f t="shared" ref="B17:B26" si="0">$B$6*(1-A17/100)</f>
        <v>12</v>
      </c>
      <c r="C17" s="4">
        <f t="shared" ref="C17:C26" si="1">B17^2</f>
        <v>144</v>
      </c>
      <c r="D17" s="4">
        <f t="shared" ref="D17:D26" si="2">$B$9+($B$10*(C17+1/$B$9^2))/(2*(1-$B$11))</f>
        <v>-15.246753246753247</v>
      </c>
      <c r="E17" s="4">
        <f t="shared" ref="E17:E26" si="3">15+0.00306*(A17)^2</f>
        <v>15</v>
      </c>
      <c r="F17" s="4">
        <f t="shared" ref="F17:F26" si="4">E17/$B$5</f>
        <v>1</v>
      </c>
    </row>
    <row r="18" spans="1:6" x14ac:dyDescent="0.2">
      <c r="A18" s="5">
        <v>10</v>
      </c>
      <c r="B18" s="4">
        <f t="shared" si="0"/>
        <v>10.8</v>
      </c>
      <c r="C18" s="4">
        <f t="shared" si="1"/>
        <v>116.64000000000001</v>
      </c>
      <c r="D18" s="4">
        <f t="shared" si="2"/>
        <v>-14.580519480519483</v>
      </c>
      <c r="E18" s="4">
        <f t="shared" si="3"/>
        <v>15.305999999999999</v>
      </c>
      <c r="F18" s="4">
        <f t="shared" si="4"/>
        <v>1.0204</v>
      </c>
    </row>
    <row r="19" spans="1:6" x14ac:dyDescent="0.2">
      <c r="A19" s="5">
        <v>20</v>
      </c>
      <c r="B19" s="4">
        <f t="shared" si="0"/>
        <v>9.6000000000000014</v>
      </c>
      <c r="C19" s="4">
        <f t="shared" si="1"/>
        <v>92.160000000000025</v>
      </c>
      <c r="D19" s="4">
        <f t="shared" si="2"/>
        <v>-13.984415584415588</v>
      </c>
      <c r="E19" s="4">
        <f t="shared" si="3"/>
        <v>16.224</v>
      </c>
      <c r="F19" s="4">
        <f t="shared" si="4"/>
        <v>1.0816000000000001</v>
      </c>
    </row>
    <row r="20" spans="1:6" x14ac:dyDescent="0.2">
      <c r="A20" s="5">
        <v>30</v>
      </c>
      <c r="B20" s="4">
        <f t="shared" si="0"/>
        <v>8.3999999999999986</v>
      </c>
      <c r="C20" s="4">
        <f t="shared" si="1"/>
        <v>70.559999999999974</v>
      </c>
      <c r="D20" s="4">
        <f t="shared" si="2"/>
        <v>-13.458441558441558</v>
      </c>
      <c r="E20" s="4">
        <f t="shared" si="3"/>
        <v>17.754000000000001</v>
      </c>
      <c r="F20" s="4">
        <f t="shared" si="4"/>
        <v>1.1836</v>
      </c>
    </row>
    <row r="21" spans="1:6" x14ac:dyDescent="0.2">
      <c r="A21" s="5">
        <v>40</v>
      </c>
      <c r="B21" s="4">
        <f t="shared" si="0"/>
        <v>7.1999999999999993</v>
      </c>
      <c r="C21" s="4">
        <f t="shared" si="1"/>
        <v>51.839999999999989</v>
      </c>
      <c r="D21" s="4">
        <f t="shared" si="2"/>
        <v>-13.002597402597404</v>
      </c>
      <c r="E21" s="4">
        <f t="shared" si="3"/>
        <v>19.896000000000001</v>
      </c>
      <c r="F21" s="4">
        <f t="shared" si="4"/>
        <v>1.3264</v>
      </c>
    </row>
    <row r="22" spans="1:6" x14ac:dyDescent="0.2">
      <c r="A22" s="5">
        <v>50</v>
      </c>
      <c r="B22" s="4">
        <f t="shared" si="0"/>
        <v>6</v>
      </c>
      <c r="C22" s="4">
        <f t="shared" si="1"/>
        <v>36</v>
      </c>
      <c r="D22" s="4">
        <f t="shared" si="2"/>
        <v>-12.616883116883118</v>
      </c>
      <c r="E22" s="4">
        <f t="shared" si="3"/>
        <v>22.65</v>
      </c>
      <c r="F22" s="4">
        <f t="shared" si="4"/>
        <v>1.51</v>
      </c>
    </row>
    <row r="23" spans="1:6" x14ac:dyDescent="0.2">
      <c r="A23" s="5">
        <v>60</v>
      </c>
      <c r="B23" s="4">
        <f t="shared" si="0"/>
        <v>4.8000000000000007</v>
      </c>
      <c r="C23" s="4">
        <f t="shared" si="1"/>
        <v>23.040000000000006</v>
      </c>
      <c r="D23" s="4">
        <f t="shared" si="2"/>
        <v>-12.301298701298702</v>
      </c>
      <c r="E23" s="4">
        <f t="shared" si="3"/>
        <v>26.015999999999998</v>
      </c>
      <c r="F23" s="4">
        <f t="shared" si="4"/>
        <v>1.7343999999999999</v>
      </c>
    </row>
    <row r="24" spans="1:6" x14ac:dyDescent="0.2">
      <c r="A24" s="5">
        <v>70</v>
      </c>
      <c r="B24" s="4">
        <f t="shared" si="0"/>
        <v>3.6000000000000005</v>
      </c>
      <c r="C24" s="4">
        <f t="shared" si="1"/>
        <v>12.960000000000004</v>
      </c>
      <c r="D24" s="4">
        <f t="shared" si="2"/>
        <v>-12.055844155844158</v>
      </c>
      <c r="E24" s="4">
        <f t="shared" si="3"/>
        <v>29.994</v>
      </c>
      <c r="F24" s="4">
        <f t="shared" si="4"/>
        <v>1.9996</v>
      </c>
    </row>
    <row r="25" spans="1:6" x14ac:dyDescent="0.2">
      <c r="A25" s="5">
        <v>75</v>
      </c>
      <c r="B25" s="4">
        <f t="shared" si="0"/>
        <v>3</v>
      </c>
      <c r="C25" s="4">
        <f t="shared" si="1"/>
        <v>9</v>
      </c>
      <c r="D25" s="4">
        <f t="shared" si="2"/>
        <v>-11.959415584415586</v>
      </c>
      <c r="E25" s="4">
        <f t="shared" si="3"/>
        <v>32.212499999999999</v>
      </c>
      <c r="F25" s="4">
        <f t="shared" si="4"/>
        <v>2.1475</v>
      </c>
    </row>
    <row r="26" spans="1:6" x14ac:dyDescent="0.2">
      <c r="A26" s="5">
        <v>80</v>
      </c>
      <c r="B26" s="4">
        <f t="shared" si="0"/>
        <v>2.3999999999999995</v>
      </c>
      <c r="C26" s="4">
        <f t="shared" si="1"/>
        <v>5.7599999999999971</v>
      </c>
      <c r="D26" s="4">
        <f t="shared" si="2"/>
        <v>-11.880519480519482</v>
      </c>
      <c r="E26" s="4">
        <f t="shared" si="3"/>
        <v>34.584000000000003</v>
      </c>
      <c r="F26" s="4">
        <f t="shared" si="4"/>
        <v>2.3056000000000001</v>
      </c>
    </row>
    <row r="28" spans="1:6" ht="19" x14ac:dyDescent="0.25">
      <c r="A28" s="8" t="s">
        <v>33</v>
      </c>
      <c r="B28" s="7"/>
      <c r="C28" s="7"/>
      <c r="D28" s="7"/>
      <c r="E28" s="7"/>
    </row>
    <row r="29" spans="1:6" x14ac:dyDescent="0.2">
      <c r="A29" s="2" t="s">
        <v>34</v>
      </c>
      <c r="B29" s="2" t="s">
        <v>35</v>
      </c>
      <c r="C29" s="2" t="s">
        <v>36</v>
      </c>
      <c r="D29" s="2" t="s">
        <v>37</v>
      </c>
      <c r="E29" s="2" t="s">
        <v>38</v>
      </c>
    </row>
    <row r="30" spans="1:6" x14ac:dyDescent="0.2">
      <c r="A30" s="3" t="s">
        <v>28</v>
      </c>
      <c r="B30" s="4">
        <f>$B$6</f>
        <v>12</v>
      </c>
      <c r="C30" s="4">
        <f>B24</f>
        <v>3.6000000000000005</v>
      </c>
      <c r="D30" s="4">
        <f>C30-B30</f>
        <v>-8.3999999999999986</v>
      </c>
      <c r="E30" s="4">
        <f>(C30-B30)/B30*100</f>
        <v>-69.999999999999986</v>
      </c>
    </row>
    <row r="31" spans="1:6" x14ac:dyDescent="0.2">
      <c r="A31" s="3" t="s">
        <v>29</v>
      </c>
      <c r="B31" s="4">
        <f>$B$7</f>
        <v>144</v>
      </c>
      <c r="C31" s="4">
        <f>C24</f>
        <v>12.960000000000004</v>
      </c>
      <c r="D31" s="4">
        <f>C31-B31</f>
        <v>-131.04</v>
      </c>
      <c r="E31" s="4">
        <f>(C31-B31)/B31*100</f>
        <v>-90.999999999999986</v>
      </c>
    </row>
    <row r="32" spans="1:6" x14ac:dyDescent="0.2">
      <c r="A32" s="3" t="s">
        <v>30</v>
      </c>
      <c r="B32" s="4">
        <f>$B$8</f>
        <v>22</v>
      </c>
      <c r="C32" s="4">
        <f>D24</f>
        <v>-12.055844155844158</v>
      </c>
      <c r="D32" s="4">
        <f>C32-B32</f>
        <v>-34.055844155844156</v>
      </c>
      <c r="E32" s="4">
        <f>(C32-B32)/B32*100</f>
        <v>-154.79929161747344</v>
      </c>
    </row>
    <row r="33" spans="1:5" x14ac:dyDescent="0.2">
      <c r="A33" s="3" t="s">
        <v>39</v>
      </c>
      <c r="B33" s="4">
        <f>$B$5</f>
        <v>15</v>
      </c>
      <c r="C33" s="4">
        <f>E24</f>
        <v>29.994</v>
      </c>
      <c r="D33" s="4">
        <f>C33-B33</f>
        <v>14.994</v>
      </c>
      <c r="E33" s="4">
        <f>(C33-B33)/B33*100</f>
        <v>99.96</v>
      </c>
    </row>
    <row r="34" spans="1:5" x14ac:dyDescent="0.2">
      <c r="A34" s="3" t="s">
        <v>32</v>
      </c>
      <c r="B34" s="4">
        <f>1</f>
        <v>1</v>
      </c>
      <c r="C34" s="4">
        <f>F24</f>
        <v>1.9996</v>
      </c>
      <c r="D34" s="4">
        <f>C34-B34</f>
        <v>0.99960000000000004</v>
      </c>
      <c r="E34" s="4">
        <f>(C34-B34)/B34*100</f>
        <v>99.960000000000008</v>
      </c>
    </row>
  </sheetData>
  <mergeCells count="3">
    <mergeCell ref="A13:F13"/>
    <mergeCell ref="A28:E2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Variance Reduction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Harshul Chandrashekhar</cp:lastModifiedBy>
  <dcterms:created xsi:type="dcterms:W3CDTF">2026-01-23T20:59:19Z</dcterms:created>
  <dcterms:modified xsi:type="dcterms:W3CDTF">2026-01-25T15:35:35Z</dcterms:modified>
</cp:coreProperties>
</file>